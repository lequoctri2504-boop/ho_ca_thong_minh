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uongDan" sheetId="1" state="visible" r:id="rId3"/>
    <sheet name="DuLieuLoai" sheetId="2" state="visible" r:id="rId4"/>
    <sheet name="DoiChieuNguon" sheetId="3" state="visible" r:id="rId5"/>
  </sheets>
  <definedNames>
    <definedName function="false" hidden="true" localSheetId="1" name="_xlnm._FilterDatabase" vbProcedure="false">DuLieuLoai!$A$1:$Y$22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<sst xmlns="http://schemas.openxmlformats.org/spreadsheetml/2006/main" count="427" uniqueCount="253">
  <si>
    <t xml:space="preserve">HƯỚNG DẪN ĐỌC FILE</t>
  </si>
  <si>
    <t xml:space="preserve">Sheet DuLieuLoai: 21 loài theo đúng 21 folder trong dataset. Ô vàng = chưa có dữ liệu, bạn tự tra sau. Chữ xanh dương = số liệu nhập tay từ nguồn; chữ đen = công thức/ghi chú.</t>
  </si>
  <si>
    <t xml:space="preserve">Cột xanh lá = ngưỡng 'tối ưu' lấy từ SeriouslyFish (SF). Cột xanh dương nhạt = khoảng ghi nhận từ FishBase.</t>
  </si>
  <si>
    <t xml:space="preserve">Lưu ý: FishBase KHÔNG luôn rộng hơn SF (VD cá sọc ngựa: FishBase 18–24°C hẹp hơn SF 18–25°C). Vì vậy file để 2 nguồn cạnh nhau, chưa gọi là 'ngưỡng chịu đựng'. Bạn và GVHD quyết định quy tắc chọn ngưỡng cuối cùng.</t>
  </si>
  <si>
    <t xml:space="preserve">Thể tích bể: công thức Dài×Rộng×Cao/1000 khi nguồn ghi đủ 3 chiều. Cá xiêm (41 L) và neon (54 L): số thể tích do chính SF nêu, nhập tay.</t>
  </si>
  <si>
    <t xml:space="preserve">Tính cách chỉ điền khi nguồn nói rõ; nếu không khớp với Hòa bình/Rỉa vây/Hung dữ thì để trống.</t>
  </si>
  <si>
    <t xml:space="preserve">CẢNH BÁO</t>
  </si>
  <si>
    <t xml:space="preserve">1) Ngưỡng SF/FishBase là khuyến nghị nuôi cá cảnh nói chung, không phải kết quả thực nghiệm. Nên ghi rõ trong phần hạn chế của luận văn.</t>
  </si>
  <si>
    <t xml:space="preserve">2) Các nguồn lệch nhau khá nhiều (VD pH cá bảy màu: SF 7.0–8.5, Aqualog 6.0–8.0). Xem sheet DoiChieuNguon.</t>
  </si>
  <si>
    <t xml:space="preserve">3) Tên tiếng Việt → tên khoa học: cột 'Độ chắc chắn của tên' cho biết mức tự tin. Loài 'Chưa rõ' cần xác định từ ảnh trước khi tra.</t>
  </si>
  <si>
    <t xml:space="preserve">4) Cá đuôi kiếm: số nhiệt độ/pH là gián tiếp (trích lại SF trên diễn đàn), cần xác minh trên trang SF gốc.</t>
  </si>
  <si>
    <t xml:space="preserve">5) Ngày truy cập ghi 2026-09-28. Nên chụp/lưu PDF trang nguồn làm bằng chứng.</t>
  </si>
  <si>
    <t xml:space="preserve">MẪU TRÍCH DẪN</t>
  </si>
  <si>
    <t xml:space="preserve">Seriously Fish. (n.d.). Poecilia reticulata. Truy cập ngày 28/09/2026, từ https://seriouslyfish.com/species/poecilia-reticulata</t>
  </si>
  <si>
    <t xml:space="preserve">Froese, R. &amp; Pauly, D. (Eds.). FishBase. World Wide Web electronic publication. Truy cập ngày 28/09/2026, từ https://www.fishbase.se (định dạng chuẩn theo yêu cầu của trường/GVHD).</t>
  </si>
  <si>
    <t xml:space="preserve">Mã loài</t>
  </si>
  <si>
    <t xml:space="preserve">Tên hiển thị</t>
  </si>
  <si>
    <t xml:space="preserve">Tên tiếng Anh</t>
  </si>
  <si>
    <t xml:space="preserve">Tên khoa học</t>
  </si>
  <si>
    <t xml:space="preserve">Độ chắc chắn của tên</t>
  </si>
  <si>
    <t xml:space="preserve">Nhiệt độ tối ưu Min (°C) [SF]</t>
  </si>
  <si>
    <t xml:space="preserve">Nhiệt độ tối ưu Max (°C) [SF]</t>
  </si>
  <si>
    <t xml:space="preserve">pH tối ưu Min [SF]</t>
  </si>
  <si>
    <t xml:space="preserve">pH tối ưu Max [SF]</t>
  </si>
  <si>
    <t xml:space="preserve">Nhiệt độ nguồn phụ Min (°C) [FishBase/OFI]</t>
  </si>
  <si>
    <t xml:space="preserve">Nhiệt độ nguồn phụ Max (°C) [FishBase/OFI]</t>
  </si>
  <si>
    <t xml:space="preserve">pH nguồn phụ Min [FishBase/OFI]</t>
  </si>
  <si>
    <t xml:space="preserve">pH nguồn phụ Max [FishBase/OFI]</t>
  </si>
  <si>
    <t xml:space="preserve">Kích thước cá tối đa (cm)</t>
  </si>
  <si>
    <t xml:space="preserve">Bể tối thiểu - Dài (cm)</t>
  </si>
  <si>
    <t xml:space="preserve">Bể tối thiểu - Rộng (cm)</t>
  </si>
  <si>
    <t xml:space="preserve">Bể tối thiểu - Cao (cm)</t>
  </si>
  <si>
    <t xml:space="preserve">Thể tích tối thiểu (Lít)</t>
  </si>
  <si>
    <t xml:space="preserve">Tính cách</t>
  </si>
  <si>
    <t xml:space="preserve">Nguồn chính (SeriouslyFish)</t>
  </si>
  <si>
    <t xml:space="preserve">Nguồn phụ (FishBase / OFI)</t>
  </si>
  <si>
    <t xml:space="preserve">Nguồn đối chiếu (xem sheet DoiChieuNguon)</t>
  </si>
  <si>
    <t xml:space="preserve">Ngày truy cập</t>
  </si>
  <si>
    <t xml:space="preserve">Trạng thái</t>
  </si>
  <si>
    <t xml:space="preserve">Ghi chú</t>
  </si>
  <si>
    <t xml:space="preserve">ca_ba_duoi</t>
  </si>
  <si>
    <t xml:space="preserve">Cá Ba Đuôi (cá vàng)</t>
  </si>
  <si>
    <t xml:space="preserve">Goldfish</t>
  </si>
  <si>
    <t xml:space="preserve">Carassius auratus</t>
  </si>
  <si>
    <t xml:space="preserve">Theo bạn cung cấp</t>
  </si>
  <si>
    <t xml:space="preserve">https://ornamentalfish.org/wp-content/uploads/Goldfish-in-aquaria.pdf</t>
  </si>
  <si>
    <t xml:space="preserve">Tropical Freshwater Fish 8–20°C, pH 6–8; Sims Tropical Fish (shop) 18–22°C, pH 6.5–7.5</t>
  </si>
  <si>
    <t xml:space="preserve">2026-09-28</t>
  </si>
  <si>
    <t xml:space="preserve">Điền một phần</t>
  </si>
  <si>
    <t xml:space="preserve">Không tìm thấy trang SeriouslyFish/FishBase; số liệu lấy từ tờ hướng dẫn của OFI/OATA (tổ chức ngành cá cảnh, 09/2022): nhiệt độ 4–25°C, pH 6.0–8.0, cá tối đa ~25 cm trong bể, bể ≥100 L cho 1 con trưởng thành (+50 L mỗi con thêm). Đây là cá nước lạnh: khoảng ưa thích thực tế thấp hơn nhiều so với cá nhiệt đới khác. Tính cách để trống: OFI ghi có thể rỉa vây các dòng cá vàng chậm.</t>
  </si>
  <si>
    <t xml:space="preserve">ca_bay_mau</t>
  </si>
  <si>
    <t xml:space="preserve">Cá Bảy Màu</t>
  </si>
  <si>
    <t xml:space="preserve">Guppy</t>
  </si>
  <si>
    <t xml:space="preserve">Poecilia reticulata</t>
  </si>
  <si>
    <t xml:space="preserve">Hòa bình</t>
  </si>
  <si>
    <t xml:space="preserve">https://www.seriouslyfish.com/species/poecilia-reticulata</t>
  </si>
  <si>
    <t xml:space="preserve">Aqualog 22–28°C, pH 6.0–8.0; The Tropical Tank 18–27°C, pH 7.0–8.5</t>
  </si>
  <si>
    <t xml:space="preserve">Đã điền (SF)</t>
  </si>
  <si>
    <t xml:space="preserve">SF ghi khoảng hoang dã/chịu được rộng. Nguồn thương mại hẹp hơn (VD Aqualog pH 6.0–8.0). Kích thước 6 cm = SL tối đa. Bể 45×30×30 cm theo SF; thể tích tính bằng công thức. Tính cách: SF ghi 'rất hiền', không nuôi chung loài rỉa vây (cá hổ, serpae).</t>
  </si>
  <si>
    <t xml:space="preserve">ca_but_chi</t>
  </si>
  <si>
    <t xml:space="preserve">Cá Bút Chì</t>
  </si>
  <si>
    <t xml:space="preserve">Siamese algae eater</t>
  </si>
  <si>
    <t xml:space="preserve">Crossocheilus oblongus</t>
  </si>
  <si>
    <t xml:space="preserve">Chưa tra</t>
  </si>
  <si>
    <t xml:space="preserve">Cần xác nhận đúng loài: cá này rất dễ bị nhầm với Crossocheilus langei và các loài khác bán dưới cùng tên.</t>
  </si>
  <si>
    <t xml:space="preserve">ca_chuot</t>
  </si>
  <si>
    <t xml:space="preserve">Cá Chuột</t>
  </si>
  <si>
    <t xml:space="preserve">Corydoras</t>
  </si>
  <si>
    <t xml:space="preserve">Corydoras spp.</t>
  </si>
  <si>
    <t xml:space="preserve">Khá chắc</t>
  </si>
  <si>
    <t xml:space="preserve">Là cả một nhóm (genus) gồm rất nhiều loài, cần xác định loài cụ thể trước khi tra.</t>
  </si>
  <si>
    <t xml:space="preserve">ca_da_quang</t>
  </si>
  <si>
    <t xml:space="preserve">Cá Dạ Quang</t>
  </si>
  <si>
    <t xml:space="preserve">GloFish</t>
  </si>
  <si>
    <t xml:space="preserve">GloFish là nhãn hiệu cá biến đổi gen phát huỳnh quang, gồm nhiều loài nền khác nhau (danio, tetra, barb...). Cần biết loài nền của cá trong dataset thì mới có ngưỡng.</t>
  </si>
  <si>
    <t xml:space="preserve">ca_dia</t>
  </si>
  <si>
    <t xml:space="preserve">Cá Dĩa</t>
  </si>
  <si>
    <t xml:space="preserve">Discus</t>
  </si>
  <si>
    <t xml:space="preserve">Symphysodon spp.</t>
  </si>
  <si>
    <t xml:space="preserve">Nhóm loài (Symphysodon), nhiều dòng lai. Cần xác định.</t>
  </si>
  <si>
    <t xml:space="preserve">ca_diec_anh_dao</t>
  </si>
  <si>
    <t xml:space="preserve">Cá Diếc Anh Đào</t>
  </si>
  <si>
    <t xml:space="preserve">Cherry barb</t>
  </si>
  <si>
    <t xml:space="preserve">Puntius titteya</t>
  </si>
  <si>
    <t xml:space="preserve">Nhiều nguồn thương mại/blog ghi ~22–28°C, pH 6.0–8.0 (xem sheet DoiChieuNguon)</t>
  </si>
  <si>
    <t xml:space="preserve">Chưa có nguồn chính</t>
  </si>
  <si>
    <t xml:space="preserve">Chưa tìm thấy trang SeriouslyFish hay FishBase. Chỉ có shop/blog nên để trống ngưỡng, bạn tra tiếp trên SeriouslyFish/FishBase.</t>
  </si>
  <si>
    <t xml:space="preserve">ca_duoi_kiem</t>
  </si>
  <si>
    <t xml:space="preserve">Cá Đuôi Kiếm</t>
  </si>
  <si>
    <t xml:space="preserve">Swordtail</t>
  </si>
  <si>
    <t xml:space="preserve">Xiphophorus hellerii</t>
  </si>
  <si>
    <t xml:space="preserve">Chắc</t>
  </si>
  <si>
    <t xml:space="preserve">(chưa mở được trang SF trực tiếp) trích lại qua diễn đàn UKAPS: https://ukaps.org/forum/goto/post?id=369418</t>
  </si>
  <si>
    <t xml:space="preserve">Fishkeeper UK 15–28°C, pH 7–8; Tropical Freshwater Fish 20–28°C, pH 7.0–8.3</t>
  </si>
  <si>
    <t xml:space="preserve">Cần xác minh</t>
  </si>
  <si>
    <t xml:space="preserve">Số liệu nhiệt độ/pH ghi lại từ đoạn trích SeriouslyFish trên diễn đàn UKAPS (gián tiếp). Cần mở trang SF gốc của loài này để xác nhận, bổ sung kích thước cá và bể tối thiểu.</t>
  </si>
  <si>
    <t xml:space="preserve">ca_hong_ket</t>
  </si>
  <si>
    <t xml:space="preserve">Cá Hồng Két</t>
  </si>
  <si>
    <t xml:space="preserve">Blood parrot cichlid</t>
  </si>
  <si>
    <t xml:space="preserve">Là cá lai nhân tạo, không có tên khoa học chuẩn nên khó có nguồn học thuật.</t>
  </si>
  <si>
    <t xml:space="preserve">ca_hong_kim</t>
  </si>
  <si>
    <t xml:space="preserve">Cá Hồng Kim</t>
  </si>
  <si>
    <t xml:space="preserve">Theo tên bạn cung cấp thì trùng loài với ca_duoi_kiem. Nếu đúng là cùng loài (khác dòng màu), có thể dùng chung ngưỡng; nhưng 2 folder cùng loài sẽ khó phân biệt khi train. Nên xác nhận lại.</t>
  </si>
  <si>
    <t xml:space="preserve">ca_koi</t>
  </si>
  <si>
    <t xml:space="preserve">Cá Koi</t>
  </si>
  <si>
    <t xml:space="preserve">Koi carp</t>
  </si>
  <si>
    <t xml:space="preserve">Cyprinus rubrofuscus</t>
  </si>
  <si>
    <t xml:space="preserve">Fishkeeper UK 2–30°C, pH 7.0–8.5; Guidarium 4–28°C, pH 6.5–8.5</t>
  </si>
  <si>
    <t xml:space="preserve">Chưa tìm thấy trang SeriouslyFish/FishBase. Lưu ý: koi là cá ao, cá trưởng thành tới 60–90 cm; các nguồn khuyên hồ hàng nghìn lít, không hợp bể kính thông thường.</t>
  </si>
  <si>
    <t xml:space="preserve">ca_la_han</t>
  </si>
  <si>
    <t xml:space="preserve">Cá La Hán</t>
  </si>
  <si>
    <t xml:space="preserve">Flowerhorn cichlid</t>
  </si>
  <si>
    <t xml:space="preserve">Là cá lai, không có tên khoa học đơn nhất.</t>
  </si>
  <si>
    <t xml:space="preserve">ca_lau_kieng</t>
  </si>
  <si>
    <t xml:space="preserve">Cá Lau Kiếng</t>
  </si>
  <si>
    <t xml:space="preserve">Pleco</t>
  </si>
  <si>
    <t xml:space="preserve">Hypostomus / Pterygoplichthys spp.</t>
  </si>
  <si>
    <t xml:space="preserve">Tên Pleco chỉ nhiều loài khác nhau, cần xác định loài cụ thể.</t>
  </si>
  <si>
    <t xml:space="preserve">ca_molly</t>
  </si>
  <si>
    <t xml:space="preserve">Cá Molly</t>
  </si>
  <si>
    <t xml:space="preserve">Molly</t>
  </si>
  <si>
    <t xml:space="preserve">Poecilia sphenops</t>
  </si>
  <si>
    <t xml:space="preserve">https://www.seriouslyfish.com/species/poecilia-sphenops/</t>
  </si>
  <si>
    <t xml:space="preserve">https://www.fishbase.se/summary/Poecilia_sphenops.html</t>
  </si>
  <si>
    <t xml:space="preserve">Fishkeeper UK 18–28°C, pH 7.5–8.5; Tropical Freshwater Fish 21–28°C, pH 7.0–8.5</t>
  </si>
  <si>
    <t xml:space="preserve">Phần đã xem của trang SF ghi bể 90×30×30 cm, cá tối đa đực 8 cm/cái 12 cm (SL), cần nước cứng vừa trở lên, pH kiềm - nhưng chưa thấy số nhiệt độ/pH cụ thể nên cột SF để trống. Số nhiệt độ/pH lấy từ FishBase. Tính cách chưa thấy trong đoạn đã xem.</t>
  </si>
  <si>
    <t xml:space="preserve">ca_mun</t>
  </si>
  <si>
    <t xml:space="preserve">Cá Mún</t>
  </si>
  <si>
    <t xml:space="preserve">Platy</t>
  </si>
  <si>
    <t xml:space="preserve">Xiphophorus maculatus</t>
  </si>
  <si>
    <t xml:space="preserve">https://www.seriouslyfish.com/species/xiphophorus-maculatus</t>
  </si>
  <si>
    <t xml:space="preserve">https://www.fishbase.se/summary/SpeciesSummary.php?id=3232</t>
  </si>
  <si>
    <t xml:space="preserve">Fishkeeper UK 20–25°C, pH 7.0–8.0; Guidarium 20–26°C, pH 7–8.2</t>
  </si>
  <si>
    <t xml:space="preserve">Cá mún = platy theo cách gọi phổ biến ở VN (khá chắc). Cỡ cá 6 cm = FishBase (cái, TL). FishBase ghi bể tối thiểu dài 60 cm; SF chưa thấy kích thước bể -&gt; để trống. SF ghi 'rất hiền'.</t>
  </si>
  <si>
    <t xml:space="preserve">ca_neon</t>
  </si>
  <si>
    <t xml:space="preserve">Cá Neon</t>
  </si>
  <si>
    <t xml:space="preserve">Neon tetra</t>
  </si>
  <si>
    <t xml:space="preserve">Paracheirodon innesi</t>
  </si>
  <si>
    <t xml:space="preserve">https://www.seriouslyfish.com/species/paracheirodon-innesi</t>
  </si>
  <si>
    <t xml:space="preserve">Fishkeeper UK 20–26°C, pH 5.0–7.5; Tropical Freshwater Fish 20–25°C, pH 5–8</t>
  </si>
  <si>
    <t xml:space="preserve">Kích thước 3 cm = SL. SF ghi đáy bể 60×30 cm, thể tích ~54 L (số SF tự nêu, không tính từ chiều cao). pH tối ưu 4.0–7.5 là khoảng rất rộng; nhiều nguồn thương mại khuyên hẹp hơn. Nuôi đàn ≥ 8–10 con.</t>
  </si>
  <si>
    <t xml:space="preserve">ca_rong</t>
  </si>
  <si>
    <t xml:space="preserve">Cá Rồng</t>
  </si>
  <si>
    <t xml:space="preserve">Asian arowana</t>
  </si>
  <si>
    <t xml:space="preserve">Scleropages formosus</t>
  </si>
  <si>
    <t xml:space="preserve">https://www.seriouslyfish.com/species/scleropages-formosus/</t>
  </si>
  <si>
    <t xml:space="preserve">Tropical Freshwater Fish 25–30°C, pH 6.5–7.5; Guidarium 26–30°C, pH 6–7.5</t>
  </si>
  <si>
    <t xml:space="preserve">SF: nhiệt độ 22–28°C, pH 5.0–8.0, dài tối đa ~90 cm SL. Trang tổng hợp của SF ghi bể tối thiểu 'chưa ghi nhận' nên để trống. Nguồn phụ (Guidarium) khuyên hồ ~1000 L, chưa nhập vì không phải nguồn chính. Cá săn mồi, ăn được cá nhỏ.</t>
  </si>
  <si>
    <t xml:space="preserve">ca_sac</t>
  </si>
  <si>
    <t xml:space="preserve">Cá Sặc</t>
  </si>
  <si>
    <t xml:space="preserve">Gourami</t>
  </si>
  <si>
    <t xml:space="preserve">Trichopodus spp.</t>
  </si>
  <si>
    <t xml:space="preserve">Gourami gồm nhiều loài. Ở VN thường gặp cá sặc rằn/sặc bướm - cần xác định loài trong dataset.</t>
  </si>
  <si>
    <t xml:space="preserve">ca_soc_ngua</t>
  </si>
  <si>
    <t xml:space="preserve">Cá Sọc Ngựa</t>
  </si>
  <si>
    <t xml:space="preserve">Zebra danio</t>
  </si>
  <si>
    <t xml:space="preserve">Danio rerio</t>
  </si>
  <si>
    <t xml:space="preserve">https://www.seriouslyfish.com/species/danio-rerio/</t>
  </si>
  <si>
    <t xml:space="preserve">https://www.fishbase.se/summary/Danio-rerio.html</t>
  </si>
  <si>
    <t xml:space="preserve">Fishkeeper UK 15–24°C, pH 6.0–8.0</t>
  </si>
  <si>
    <t xml:space="preserve">SF ghi đáy bể 90×30 cm nhưng chưa thấy chiều cao/thể tích trong đoạn đã xem -&gt; để trống. Cỡ cá 5 cm SL theo SF (FishBase: 3.8 cm SL cho cá hoang dã). FishBase dải nhiệt độ hẹp hơn SF một chút (18–24 vs 18–25).</t>
  </si>
  <si>
    <t xml:space="preserve">ca_thien_than</t>
  </si>
  <si>
    <t xml:space="preserve">Cá Thiên Thần</t>
  </si>
  <si>
    <t xml:space="preserve">Angelfish</t>
  </si>
  <si>
    <t xml:space="preserve">Pterophyllum scalare</t>
  </si>
  <si>
    <t xml:space="preserve">https://seriouslyfish.com/species/pterophyllum-scalare</t>
  </si>
  <si>
    <t xml:space="preserve">Fishkeeper UK 24–30°C, pH 6–8; Tetra 24–30°C, pH 6.0–7.5</t>
  </si>
  <si>
    <t xml:space="preserve">Trang SF định dạng cũ. Cỡ 15 cm = chiều dài thân, cao có thể tới 20 cm. SF ghi bể nhỏ nhất 100×40×50 cm (cộng đồng hobbyist còn cho rằng con số này nên là mức tối thiểu tuyệt đối). Tính cách: SF ghi 'nhìn chung hiền nhưng vẫn là cichlid nên đôi khi hung hăng', ăn được cá nhỏ (VD neon).</t>
  </si>
  <si>
    <t xml:space="preserve">ca_xiem</t>
  </si>
  <si>
    <t xml:space="preserve">Cá Xiêm (Betta)</t>
  </si>
  <si>
    <t xml:space="preserve">Siamese fighting fish</t>
  </si>
  <si>
    <t xml:space="preserve">Betta splendens</t>
  </si>
  <si>
    <t xml:space="preserve">https://www.seriouslyfish.com/species/betta-splendens</t>
  </si>
  <si>
    <t xml:space="preserve">Flowgrow 21–30°C, pH 6–8; Live Aquaria (shop) 24–30°C, pH 6.0–8.0</t>
  </si>
  <si>
    <t xml:space="preserve">Cỡ 7 cm = SL. Bể: SF ghi đáy 45×30 cm, thể tích ~41 L (số SF tự nêu). Tính cách: SF xếp 'không phải cá nuôi chung' (species tank) - không khớp trực tiếp 3 lựa chọn Hòa bình/Rỉa vây/Hung dữ nên để trống, bạn tự quyết định.</t>
  </si>
  <si>
    <t xml:space="preserve">Nguồn</t>
  </si>
  <si>
    <t xml:space="preserve">Loại nguồn</t>
  </si>
  <si>
    <t xml:space="preserve">Nhiệt độ Min (°C)</t>
  </si>
  <si>
    <t xml:space="preserve">Nhiệt độ Max (°C)</t>
  </si>
  <si>
    <t xml:space="preserve">pH Min</t>
  </si>
  <si>
    <t xml:space="preserve">pH Max</t>
  </si>
  <si>
    <t xml:space="preserve">URL</t>
  </si>
  <si>
    <t xml:space="preserve">SeriouslyFish</t>
  </si>
  <si>
    <t xml:space="preserve">Chính</t>
  </si>
  <si>
    <t xml:space="preserve">https://seriouslyfish.com/species/poecilia-reticulata</t>
  </si>
  <si>
    <t xml:space="preserve">Hoang dã/chịu được rộng</t>
  </si>
  <si>
    <t xml:space="preserve">Aqualog</t>
  </si>
  <si>
    <t xml:space="preserve">Thương mại (đối chiếu)</t>
  </si>
  <si>
    <t xml:space="preserve">https://www.aqualog.de/en/lexikon/poecilia-acanthophacelus-reticulatus-whatsoever-lebistes-r-2</t>
  </si>
  <si>
    <t xml:space="preserve">Khuyến nghị nuôi</t>
  </si>
  <si>
    <t xml:space="preserve">The Tropical Tank</t>
  </si>
  <si>
    <t xml:space="preserve">Hobbyist (đối chiếu)</t>
  </si>
  <si>
    <t xml:space="preserve">https://www.thetropicaltank.co.uk/Fishindx/guppy.htm</t>
  </si>
  <si>
    <t xml:space="preserve">Flowgrow</t>
  </si>
  <si>
    <t xml:space="preserve">Đối chiếu</t>
  </si>
  <si>
    <t xml:space="preserve">https://www.flowgrow.de/db/fish/betta-splendens</t>
  </si>
  <si>
    <t xml:space="preserve">Live Aquaria</t>
  </si>
  <si>
    <t xml:space="preserve">Shop (chỉ tham khảo)</t>
  </si>
  <si>
    <t xml:space="preserve">https://www.liveaquaria.com/product/990/?pcatid=990</t>
  </si>
  <si>
    <t xml:space="preserve">75–86°F đã quy đổi ~24–30°C</t>
  </si>
  <si>
    <t xml:space="preserve">Fishkeeper UK</t>
  </si>
  <si>
    <t xml:space="preserve">https://www.fishkeeper.co.uk/fish/freshwater/characins/neon-tetra-</t>
  </si>
  <si>
    <t xml:space="preserve">Tropical Freshwater Fish</t>
  </si>
  <si>
    <t xml:space="preserve">https://tropicalfreshwaterfish.com/species/Paracheirodon_innesi.html</t>
  </si>
  <si>
    <t xml:space="preserve">68–77°F quy đổi ~20–25°C</t>
  </si>
  <si>
    <t xml:space="preserve">76–86°F quy đổi ~24–30°C</t>
  </si>
  <si>
    <t xml:space="preserve">https://www.fishkeeper.co.uk/fish/freshwater/cichlids/angel-fish-</t>
  </si>
  <si>
    <t xml:space="preserve">Tetra (blog)</t>
  </si>
  <si>
    <t xml:space="preserve">Nhà sản xuất (đối chiếu)</t>
  </si>
  <si>
    <t xml:space="preserve">https://blog.tetra.net/en-en/?p=2360</t>
  </si>
  <si>
    <t xml:space="preserve">FishBase</t>
  </si>
  <si>
    <t xml:space="preserve">Học thuật</t>
  </si>
  <si>
    <t xml:space="preserve">Dải nhiệt độ ghi kèm ref. 1672 trên FishBase</t>
  </si>
  <si>
    <t xml:space="preserve">https://www.fishkeeper.co.uk/fish/freshwater/cyprinids/zebra-danio-</t>
  </si>
  <si>
    <t xml:space="preserve">https://seriouslyfish.com/species/xiphophorus-maculatus</t>
  </si>
  <si>
    <t xml:space="preserve">68–79°F quy đổi ~20–26°C</t>
  </si>
  <si>
    <t xml:space="preserve">https://www.fishkeeper.co.uk/fish/freshwater/livebearers/platy-</t>
  </si>
  <si>
    <t xml:space="preserve">Guidarium</t>
  </si>
  <si>
    <t xml:space="preserve">https://guidarium.com/fishes/platy</t>
  </si>
  <si>
    <t xml:space="preserve">dH 11–30; bể tối thiểu 60 cm</t>
  </si>
  <si>
    <t xml:space="preserve">https://www.fishkeeper.co.uk/fish/freshwater/livebearers/molly-</t>
  </si>
  <si>
    <t xml:space="preserve">https://tropicalfreshwaterfish.com/species/Poecilia_sphenops.html</t>
  </si>
  <si>
    <t xml:space="preserve">70–82°F quy đổi ~21–28°C</t>
  </si>
  <si>
    <t xml:space="preserve">SeriouslyFish (qua UKAPS)</t>
  </si>
  <si>
    <t xml:space="preserve">Gián tiếp - cần xác minh</t>
  </si>
  <si>
    <t xml:space="preserve">https://ukaps.org/forum/goto/post?id=369418</t>
  </si>
  <si>
    <t xml:space="preserve">Trích từ diễn đàn, không phải trang SF gốc</t>
  </si>
  <si>
    <t xml:space="preserve">https://www.fishkeeper.co.uk/fish/freshwater/livebearers/swordtail</t>
  </si>
  <si>
    <t xml:space="preserve">https://tropicalfreshwaterfish.com/species/Xiphophorus_helleri.html</t>
  </si>
  <si>
    <t xml:space="preserve">68–82°F quy đổi ~20–28°C</t>
  </si>
  <si>
    <t xml:space="preserve">Ornamental Fish International (OATA) - care sheet</t>
  </si>
  <si>
    <t xml:space="preserve">Tổ chức ngành (phụ)</t>
  </si>
  <si>
    <t xml:space="preserve">Cá vàng nước lạnh; bể ≥100 L cho 1 con</t>
  </si>
  <si>
    <t xml:space="preserve">https://tropicalfreshwaterfish.com/species/Carassius_auratus.html</t>
  </si>
  <si>
    <t xml:space="preserve">46–68°F quy đổi ~8–20°C</t>
  </si>
  <si>
    <t xml:space="preserve">Sims Tropical Fish</t>
  </si>
  <si>
    <t xml:space="preserve">https://simstropicalfish.co.uk/product/goldfish-red-carassius-auratus/</t>
  </si>
  <si>
    <t xml:space="preserve">https://www.fishkeeper.co.uk/fish/freshwater/pond-fish/koi</t>
  </si>
  <si>
    <t xml:space="preserve">Cá ao; chưa có nguồn chính</t>
  </si>
  <si>
    <t xml:space="preserve">https://guidarium.com/fishes/koi</t>
  </si>
  <si>
    <t xml:space="preserve">Khuyên hồ rất lớn (~3785 L)</t>
  </si>
  <si>
    <t xml:space="preserve">Gensou Aquascaping (blog)</t>
  </si>
  <si>
    <t xml:space="preserve">Blog (chỉ tham khảo)</t>
  </si>
  <si>
    <t xml:space="preserve">https://gensou.sg/?p=37061</t>
  </si>
  <si>
    <t xml:space="preserve">Aqualibs</t>
  </si>
  <si>
    <t xml:space="preserve">https://aqualibs.com/aquarium-fishs/puntius-titteya-cherry-barb</t>
  </si>
  <si>
    <t xml:space="preserve">McMerwe (shop)</t>
  </si>
  <si>
    <t xml:space="preserve">https://mcmerwe.co.za/shop/cherry-barb-puntius-titteya/</t>
  </si>
  <si>
    <t xml:space="preserve">Hardness 36–268 ppm</t>
  </si>
  <si>
    <t xml:space="preserve">https://tropicalfreshwaterfish.com/species/Scleropages_formosus.html</t>
  </si>
  <si>
    <t xml:space="preserve">77–86°F quy đổi ~25–30°C</t>
  </si>
  <si>
    <t xml:space="preserve">https://guidarium.com/fishes/asian-arowana</t>
  </si>
  <si>
    <t xml:space="preserve">Khuyên hồ ~1000 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</si>
</sst>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E2EFDA"/>
        <bgColor rgb="FFDDEBF7"/>
      </patternFill>
    </fill>
    <fill>
      <patternFill patternType="solid">
        <fgColor rgb="FFDDEBF7"/>
        <bgColor rgb="FFE2EFDA"/>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t="s">
        <v>2</v>
      </c>
    </row>
    <row r="4" customFormat="false" ht="23.8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row>
    <row r="8" customFormat="false" ht="15" hidden="false" customHeight="false" outlineLevel="0" collapsed="false">
      <c r="A8" s="1"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row>
    <row r="15" customFormat="false" ht="15" hidden="false" customHeight="false" outlineLevel="0" collapsed="false">
      <c r="A15" s="1" t="s">
        <v>12</v>
      </c>
    </row>
    <row r="16" customFormat="false" ht="15" hidden="false" customHeight="false" outlineLevel="0" collapsed="false">
      <c r="A16" s="2" t="s">
        <v>13</v>
      </c>
    </row>
    <row r="17" customFormat="false" ht="23.85" hidden="false" customHeight="false" outlineLevel="0" collapsed="false">
      <c r="A17"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0"/>
    <col collapsed="false" customWidth="true" hidden="false" outlineLevel="0" max="4" min="4" style="0" width="22"/>
    <col collapsed="false" customWidth="true" hidden="false" outlineLevel="0" max="5" min="5" style="0" width="12"/>
    <col collapsed="false" customWidth="true" hidden="false" outlineLevel="0" max="7" min="6" style="0" width="11"/>
    <col collapsed="false" customWidth="true" hidden="false" outlineLevel="0" max="9" min="8" style="0" width="10"/>
    <col collapsed="false" customWidth="true" hidden="false" outlineLevel="0" max="11" min="10" style="0" width="11"/>
    <col collapsed="false" customWidth="true" hidden="false" outlineLevel="0" max="13" min="12" style="0" width="10"/>
    <col collapsed="false" customWidth="true" hidden="false" outlineLevel="0" max="14" min="14" style="0" width="11"/>
    <col collapsed="false" customWidth="true" hidden="false" outlineLevel="0" max="17" min="15" style="0" width="9"/>
    <col collapsed="false" customWidth="true" hidden="false" outlineLevel="0" max="19" min="18" style="0" width="12"/>
    <col collapsed="false" customWidth="true" hidden="false" outlineLevel="0" max="21" min="20" style="0" width="42"/>
    <col collapsed="false" customWidth="true" hidden="false" outlineLevel="0" max="22" min="22" style="0" width="44"/>
    <col collapsed="false" customWidth="true" hidden="false" outlineLevel="0" max="23" min="23" style="0" width="12"/>
    <col collapsed="false" customWidth="true" hidden="false" outlineLevel="0" max="24" min="24" style="0" width="14"/>
    <col collapsed="false" customWidth="true" hidden="false" outlineLevel="0" max="25" min="25" style="0" width="70"/>
  </cols>
  <sheetData>
    <row r="1" customFormat="false" ht="61.5" hidden="false" customHeight="true" outlineLevel="0" collapsed="false">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c r="Q1" s="3" t="s">
        <v>31</v>
      </c>
      <c r="R1" s="3" t="s">
        <v>32</v>
      </c>
      <c r="S1" s="3" t="s">
        <v>33</v>
      </c>
      <c r="T1" s="3" t="s">
        <v>34</v>
      </c>
      <c r="U1" s="3" t="s">
        <v>35</v>
      </c>
      <c r="V1" s="3" t="s">
        <v>36</v>
      </c>
      <c r="W1" s="3" t="s">
        <v>37</v>
      </c>
      <c r="X1" s="3" t="s">
        <v>38</v>
      </c>
      <c r="Y1" s="3" t="s">
        <v>39</v>
      </c>
    </row>
    <row r="2" customFormat="false" ht="57.45" hidden="false" customHeight="false" outlineLevel="0" collapsed="false">
      <c r="A2" s="4" t="s">
        <v>40</v>
      </c>
      <c r="B2" s="4" t="s">
        <v>41</v>
      </c>
      <c r="C2" s="4" t="s">
        <v>42</v>
      </c>
      <c r="D2" s="4" t="s">
        <v>43</v>
      </c>
      <c r="E2" s="4" t="s">
        <v>44</v>
      </c>
      <c r="F2" s="5"/>
      <c r="G2" s="5"/>
      <c r="H2" s="5"/>
      <c r="I2" s="5"/>
      <c r="J2" s="6" t="n">
        <v>4</v>
      </c>
      <c r="K2" s="6" t="n">
        <v>25</v>
      </c>
      <c r="L2" s="6" t="n">
        <v>6</v>
      </c>
      <c r="M2" s="6" t="n">
        <v>8</v>
      </c>
      <c r="N2" s="7" t="n">
        <v>25</v>
      </c>
      <c r="O2" s="4"/>
      <c r="P2" s="4"/>
      <c r="Q2" s="4"/>
      <c r="R2" s="4"/>
      <c r="S2" s="4"/>
      <c r="T2" s="4"/>
      <c r="U2" s="4" t="s">
        <v>45</v>
      </c>
      <c r="V2" s="4" t="s">
        <v>46</v>
      </c>
      <c r="W2" s="4" t="s">
        <v>47</v>
      </c>
      <c r="X2" s="4" t="s">
        <v>48</v>
      </c>
      <c r="Y2" s="4" t="s">
        <v>49</v>
      </c>
    </row>
    <row r="3" customFormat="false" ht="35.05" hidden="false" customHeight="false" outlineLevel="0" collapsed="false">
      <c r="A3" s="4" t="s">
        <v>50</v>
      </c>
      <c r="B3" s="4" t="s">
        <v>51</v>
      </c>
      <c r="C3" s="4" t="s">
        <v>52</v>
      </c>
      <c r="D3" s="4" t="s">
        <v>53</v>
      </c>
      <c r="E3" s="4" t="s">
        <v>44</v>
      </c>
      <c r="F3" s="8" t="n">
        <v>17</v>
      </c>
      <c r="G3" s="8" t="n">
        <v>28</v>
      </c>
      <c r="H3" s="8" t="n">
        <v>7</v>
      </c>
      <c r="I3" s="8" t="n">
        <v>8.5</v>
      </c>
      <c r="J3" s="9"/>
      <c r="K3" s="9"/>
      <c r="L3" s="9"/>
      <c r="M3" s="9"/>
      <c r="N3" s="7" t="n">
        <v>6</v>
      </c>
      <c r="O3" s="7" t="n">
        <v>45</v>
      </c>
      <c r="P3" s="7" t="n">
        <v>30</v>
      </c>
      <c r="Q3" s="7" t="n">
        <v>30</v>
      </c>
      <c r="R3" s="4" t="n">
        <f aca="false">O3*P3*Q3/1000</f>
        <v>40.5</v>
      </c>
      <c r="S3" s="7" t="s">
        <v>54</v>
      </c>
      <c r="T3" s="4" t="s">
        <v>55</v>
      </c>
      <c r="U3" s="4"/>
      <c r="V3" s="4" t="s">
        <v>56</v>
      </c>
      <c r="W3" s="4" t="s">
        <v>47</v>
      </c>
      <c r="X3" s="4" t="s">
        <v>57</v>
      </c>
      <c r="Y3" s="4" t="s">
        <v>58</v>
      </c>
    </row>
    <row r="4" customFormat="false" ht="23.85" hidden="false" customHeight="false" outlineLevel="0" collapsed="false">
      <c r="A4" s="4" t="s">
        <v>59</v>
      </c>
      <c r="B4" s="4" t="s">
        <v>60</v>
      </c>
      <c r="C4" s="4" t="s">
        <v>61</v>
      </c>
      <c r="D4" s="4" t="s">
        <v>62</v>
      </c>
      <c r="E4" s="4" t="s">
        <v>44</v>
      </c>
      <c r="F4" s="10"/>
      <c r="G4" s="10"/>
      <c r="H4" s="10"/>
      <c r="I4" s="10"/>
      <c r="J4" s="10"/>
      <c r="K4" s="10"/>
      <c r="L4" s="10"/>
      <c r="M4" s="10"/>
      <c r="N4" s="10"/>
      <c r="O4" s="10"/>
      <c r="P4" s="10"/>
      <c r="Q4" s="10"/>
      <c r="R4" s="10"/>
      <c r="S4" s="10"/>
      <c r="T4" s="4"/>
      <c r="U4" s="4"/>
      <c r="V4" s="4"/>
      <c r="W4" s="4"/>
      <c r="X4" s="4" t="s">
        <v>63</v>
      </c>
      <c r="Y4" s="4" t="s">
        <v>64</v>
      </c>
    </row>
    <row r="5" customFormat="false" ht="15" hidden="false" customHeight="false" outlineLevel="0" collapsed="false">
      <c r="A5" s="4" t="s">
        <v>65</v>
      </c>
      <c r="B5" s="4" t="s">
        <v>66</v>
      </c>
      <c r="C5" s="4" t="s">
        <v>67</v>
      </c>
      <c r="D5" s="4" t="s">
        <v>68</v>
      </c>
      <c r="E5" s="4" t="s">
        <v>69</v>
      </c>
      <c r="F5" s="10"/>
      <c r="G5" s="10"/>
      <c r="H5" s="10"/>
      <c r="I5" s="10"/>
      <c r="J5" s="10"/>
      <c r="K5" s="10"/>
      <c r="L5" s="10"/>
      <c r="M5" s="10"/>
      <c r="N5" s="10"/>
      <c r="O5" s="10"/>
      <c r="P5" s="10"/>
      <c r="Q5" s="10"/>
      <c r="R5" s="10"/>
      <c r="S5" s="10"/>
      <c r="T5" s="4"/>
      <c r="U5" s="4"/>
      <c r="V5" s="4"/>
      <c r="W5" s="4"/>
      <c r="X5" s="4" t="s">
        <v>63</v>
      </c>
      <c r="Y5" s="4" t="s">
        <v>70</v>
      </c>
    </row>
    <row r="6" customFormat="false" ht="23.85" hidden="false" customHeight="false" outlineLevel="0" collapsed="false">
      <c r="A6" s="4" t="s">
        <v>71</v>
      </c>
      <c r="B6" s="4" t="s">
        <v>72</v>
      </c>
      <c r="C6" s="4" t="s">
        <v>73</v>
      </c>
      <c r="D6" s="4"/>
      <c r="E6" s="4" t="s">
        <v>44</v>
      </c>
      <c r="F6" s="10"/>
      <c r="G6" s="10"/>
      <c r="H6" s="10"/>
      <c r="I6" s="10"/>
      <c r="J6" s="10"/>
      <c r="K6" s="10"/>
      <c r="L6" s="10"/>
      <c r="M6" s="10"/>
      <c r="N6" s="10"/>
      <c r="O6" s="10"/>
      <c r="P6" s="10"/>
      <c r="Q6" s="10"/>
      <c r="R6" s="10"/>
      <c r="S6" s="10"/>
      <c r="T6" s="4"/>
      <c r="U6" s="4"/>
      <c r="V6" s="4"/>
      <c r="W6" s="4"/>
      <c r="X6" s="4" t="s">
        <v>63</v>
      </c>
      <c r="Y6" s="4" t="s">
        <v>74</v>
      </c>
    </row>
    <row r="7" customFormat="false" ht="23.85" hidden="false" customHeight="false" outlineLevel="0" collapsed="false">
      <c r="A7" s="4" t="s">
        <v>75</v>
      </c>
      <c r="B7" s="4" t="s">
        <v>76</v>
      </c>
      <c r="C7" s="4" t="s">
        <v>77</v>
      </c>
      <c r="D7" s="4" t="s">
        <v>78</v>
      </c>
      <c r="E7" s="4" t="s">
        <v>44</v>
      </c>
      <c r="F7" s="10"/>
      <c r="G7" s="10"/>
      <c r="H7" s="10"/>
      <c r="I7" s="10"/>
      <c r="J7" s="10"/>
      <c r="K7" s="10"/>
      <c r="L7" s="10"/>
      <c r="M7" s="10"/>
      <c r="N7" s="10"/>
      <c r="O7" s="10"/>
      <c r="P7" s="10"/>
      <c r="Q7" s="10"/>
      <c r="R7" s="10"/>
      <c r="S7" s="10"/>
      <c r="T7" s="4"/>
      <c r="U7" s="4"/>
      <c r="V7" s="4"/>
      <c r="W7" s="4"/>
      <c r="X7" s="4" t="s">
        <v>63</v>
      </c>
      <c r="Y7" s="4" t="s">
        <v>79</v>
      </c>
    </row>
    <row r="8" customFormat="false" ht="23.85" hidden="false" customHeight="false" outlineLevel="0" collapsed="false">
      <c r="A8" s="4" t="s">
        <v>80</v>
      </c>
      <c r="B8" s="4" t="s">
        <v>81</v>
      </c>
      <c r="C8" s="4" t="s">
        <v>82</v>
      </c>
      <c r="D8" s="4" t="s">
        <v>83</v>
      </c>
      <c r="E8" s="4" t="s">
        <v>44</v>
      </c>
      <c r="F8" s="5"/>
      <c r="G8" s="5"/>
      <c r="H8" s="5"/>
      <c r="I8" s="5"/>
      <c r="J8" s="9"/>
      <c r="K8" s="9"/>
      <c r="L8" s="9"/>
      <c r="M8" s="9"/>
      <c r="N8" s="4"/>
      <c r="O8" s="4"/>
      <c r="P8" s="4"/>
      <c r="Q8" s="4"/>
      <c r="R8" s="4"/>
      <c r="S8" s="4"/>
      <c r="T8" s="4"/>
      <c r="U8" s="4"/>
      <c r="V8" s="4" t="s">
        <v>84</v>
      </c>
      <c r="W8" s="4"/>
      <c r="X8" s="4" t="s">
        <v>85</v>
      </c>
      <c r="Y8" s="4" t="s">
        <v>86</v>
      </c>
    </row>
    <row r="9" customFormat="false" ht="35.05" hidden="false" customHeight="false" outlineLevel="0" collapsed="false">
      <c r="A9" s="4" t="s">
        <v>87</v>
      </c>
      <c r="B9" s="4" t="s">
        <v>88</v>
      </c>
      <c r="C9" s="4" t="s">
        <v>89</v>
      </c>
      <c r="D9" s="4" t="s">
        <v>90</v>
      </c>
      <c r="E9" s="4" t="s">
        <v>91</v>
      </c>
      <c r="F9" s="8" t="n">
        <v>20</v>
      </c>
      <c r="G9" s="8" t="n">
        <v>28</v>
      </c>
      <c r="H9" s="8" t="n">
        <v>7</v>
      </c>
      <c r="I9" s="8" t="n">
        <v>8</v>
      </c>
      <c r="J9" s="9"/>
      <c r="K9" s="9"/>
      <c r="L9" s="9"/>
      <c r="M9" s="9"/>
      <c r="N9" s="4"/>
      <c r="O9" s="4"/>
      <c r="P9" s="4"/>
      <c r="Q9" s="4"/>
      <c r="R9" s="4"/>
      <c r="S9" s="4"/>
      <c r="T9" s="4" t="s">
        <v>92</v>
      </c>
      <c r="U9" s="4"/>
      <c r="V9" s="4" t="s">
        <v>93</v>
      </c>
      <c r="W9" s="4" t="s">
        <v>47</v>
      </c>
      <c r="X9" s="4" t="s">
        <v>94</v>
      </c>
      <c r="Y9" s="4" t="s">
        <v>95</v>
      </c>
    </row>
    <row r="10" customFormat="false" ht="23.85" hidden="false" customHeight="false" outlineLevel="0" collapsed="false">
      <c r="A10" s="4" t="s">
        <v>96</v>
      </c>
      <c r="B10" s="4" t="s">
        <v>97</v>
      </c>
      <c r="C10" s="4" t="s">
        <v>98</v>
      </c>
      <c r="D10" s="4"/>
      <c r="E10" s="4" t="s">
        <v>44</v>
      </c>
      <c r="F10" s="10"/>
      <c r="G10" s="10"/>
      <c r="H10" s="10"/>
      <c r="I10" s="10"/>
      <c r="J10" s="10"/>
      <c r="K10" s="10"/>
      <c r="L10" s="10"/>
      <c r="M10" s="10"/>
      <c r="N10" s="10"/>
      <c r="O10" s="10"/>
      <c r="P10" s="10"/>
      <c r="Q10" s="10"/>
      <c r="R10" s="10"/>
      <c r="S10" s="10"/>
      <c r="T10" s="4"/>
      <c r="U10" s="4"/>
      <c r="V10" s="4"/>
      <c r="W10" s="4"/>
      <c r="X10" s="4" t="s">
        <v>63</v>
      </c>
      <c r="Y10" s="4" t="s">
        <v>99</v>
      </c>
    </row>
    <row r="11" customFormat="false" ht="35.05" hidden="false" customHeight="false" outlineLevel="0" collapsed="false">
      <c r="A11" s="4" t="s">
        <v>100</v>
      </c>
      <c r="B11" s="4" t="s">
        <v>101</v>
      </c>
      <c r="C11" s="4" t="s">
        <v>89</v>
      </c>
      <c r="D11" s="4" t="s">
        <v>90</v>
      </c>
      <c r="E11" s="4" t="s">
        <v>44</v>
      </c>
      <c r="F11" s="10"/>
      <c r="G11" s="10"/>
      <c r="H11" s="10"/>
      <c r="I11" s="10"/>
      <c r="J11" s="10"/>
      <c r="K11" s="10"/>
      <c r="L11" s="10"/>
      <c r="M11" s="10"/>
      <c r="N11" s="10"/>
      <c r="O11" s="10"/>
      <c r="P11" s="10"/>
      <c r="Q11" s="10"/>
      <c r="R11" s="10"/>
      <c r="S11" s="10"/>
      <c r="T11" s="4"/>
      <c r="U11" s="4"/>
      <c r="V11" s="4"/>
      <c r="W11" s="4"/>
      <c r="X11" s="4" t="s">
        <v>63</v>
      </c>
      <c r="Y11" s="4" t="s">
        <v>102</v>
      </c>
    </row>
    <row r="12" customFormat="false" ht="23.85" hidden="false" customHeight="false" outlineLevel="0" collapsed="false">
      <c r="A12" s="4" t="s">
        <v>103</v>
      </c>
      <c r="B12" s="4" t="s">
        <v>104</v>
      </c>
      <c r="C12" s="4" t="s">
        <v>105</v>
      </c>
      <c r="D12" s="4" t="s">
        <v>106</v>
      </c>
      <c r="E12" s="4" t="s">
        <v>44</v>
      </c>
      <c r="F12" s="5"/>
      <c r="G12" s="5"/>
      <c r="H12" s="5"/>
      <c r="I12" s="5"/>
      <c r="J12" s="9"/>
      <c r="K12" s="9"/>
      <c r="L12" s="9"/>
      <c r="M12" s="9"/>
      <c r="N12" s="4"/>
      <c r="O12" s="4"/>
      <c r="P12" s="4"/>
      <c r="Q12" s="4"/>
      <c r="R12" s="4"/>
      <c r="S12" s="4"/>
      <c r="T12" s="4"/>
      <c r="U12" s="4"/>
      <c r="V12" s="4" t="s">
        <v>107</v>
      </c>
      <c r="W12" s="4"/>
      <c r="X12" s="4" t="s">
        <v>85</v>
      </c>
      <c r="Y12" s="4" t="s">
        <v>108</v>
      </c>
    </row>
    <row r="13" customFormat="false" ht="23.85" hidden="false" customHeight="false" outlineLevel="0" collapsed="false">
      <c r="A13" s="4" t="s">
        <v>109</v>
      </c>
      <c r="B13" s="4" t="s">
        <v>110</v>
      </c>
      <c r="C13" s="4" t="s">
        <v>111</v>
      </c>
      <c r="D13" s="4"/>
      <c r="E13" s="4" t="s">
        <v>44</v>
      </c>
      <c r="F13" s="10"/>
      <c r="G13" s="10"/>
      <c r="H13" s="10"/>
      <c r="I13" s="10"/>
      <c r="J13" s="10"/>
      <c r="K13" s="10"/>
      <c r="L13" s="10"/>
      <c r="M13" s="10"/>
      <c r="N13" s="10"/>
      <c r="O13" s="10"/>
      <c r="P13" s="10"/>
      <c r="Q13" s="10"/>
      <c r="R13" s="10"/>
      <c r="S13" s="10"/>
      <c r="T13" s="4"/>
      <c r="U13" s="4"/>
      <c r="V13" s="4"/>
      <c r="W13" s="4"/>
      <c r="X13" s="4" t="s">
        <v>63</v>
      </c>
      <c r="Y13" s="4" t="s">
        <v>112</v>
      </c>
    </row>
    <row r="14" customFormat="false" ht="23.85" hidden="false" customHeight="false" outlineLevel="0" collapsed="false">
      <c r="A14" s="4" t="s">
        <v>113</v>
      </c>
      <c r="B14" s="4" t="s">
        <v>114</v>
      </c>
      <c r="C14" s="4" t="s">
        <v>115</v>
      </c>
      <c r="D14" s="4" t="s">
        <v>116</v>
      </c>
      <c r="E14" s="4" t="s">
        <v>44</v>
      </c>
      <c r="F14" s="10"/>
      <c r="G14" s="10"/>
      <c r="H14" s="10"/>
      <c r="I14" s="10"/>
      <c r="J14" s="10"/>
      <c r="K14" s="10"/>
      <c r="L14" s="10"/>
      <c r="M14" s="10"/>
      <c r="N14" s="10"/>
      <c r="O14" s="10"/>
      <c r="P14" s="10"/>
      <c r="Q14" s="10"/>
      <c r="R14" s="10"/>
      <c r="S14" s="10"/>
      <c r="T14" s="4"/>
      <c r="U14" s="4"/>
      <c r="V14" s="4"/>
      <c r="W14" s="4"/>
      <c r="X14" s="4" t="s">
        <v>63</v>
      </c>
      <c r="Y14" s="4" t="s">
        <v>117</v>
      </c>
    </row>
    <row r="15" customFormat="false" ht="35.05" hidden="false" customHeight="false" outlineLevel="0" collapsed="false">
      <c r="A15" s="4" t="s">
        <v>118</v>
      </c>
      <c r="B15" s="4" t="s">
        <v>119</v>
      </c>
      <c r="C15" s="4" t="s">
        <v>120</v>
      </c>
      <c r="D15" s="4" t="s">
        <v>121</v>
      </c>
      <c r="E15" s="4" t="s">
        <v>91</v>
      </c>
      <c r="F15" s="5"/>
      <c r="G15" s="5"/>
      <c r="H15" s="5"/>
      <c r="I15" s="5"/>
      <c r="J15" s="6" t="n">
        <v>18</v>
      </c>
      <c r="K15" s="6" t="n">
        <v>28</v>
      </c>
      <c r="L15" s="6" t="n">
        <v>7.5</v>
      </c>
      <c r="M15" s="6" t="n">
        <v>8.2</v>
      </c>
      <c r="N15" s="7" t="n">
        <v>12</v>
      </c>
      <c r="O15" s="7" t="n">
        <v>90</v>
      </c>
      <c r="P15" s="7" t="n">
        <v>30</v>
      </c>
      <c r="Q15" s="7" t="n">
        <v>30</v>
      </c>
      <c r="R15" s="4" t="n">
        <f aca="false">O15*P15*Q15/1000</f>
        <v>81</v>
      </c>
      <c r="S15" s="4"/>
      <c r="T15" s="4" t="s">
        <v>122</v>
      </c>
      <c r="U15" s="4" t="s">
        <v>123</v>
      </c>
      <c r="V15" s="4" t="s">
        <v>124</v>
      </c>
      <c r="W15" s="4" t="s">
        <v>47</v>
      </c>
      <c r="X15" s="4" t="s">
        <v>48</v>
      </c>
      <c r="Y15" s="4" t="s">
        <v>125</v>
      </c>
    </row>
    <row r="16" customFormat="false" ht="35.05" hidden="false" customHeight="false" outlineLevel="0" collapsed="false">
      <c r="A16" s="4" t="s">
        <v>126</v>
      </c>
      <c r="B16" s="4" t="s">
        <v>127</v>
      </c>
      <c r="C16" s="4" t="s">
        <v>128</v>
      </c>
      <c r="D16" s="4" t="s">
        <v>129</v>
      </c>
      <c r="E16" s="4" t="s">
        <v>69</v>
      </c>
      <c r="F16" s="8" t="n">
        <v>20</v>
      </c>
      <c r="G16" s="8" t="n">
        <v>26</v>
      </c>
      <c r="H16" s="8" t="n">
        <v>7</v>
      </c>
      <c r="I16" s="8" t="n">
        <v>8.2</v>
      </c>
      <c r="J16" s="9"/>
      <c r="K16" s="9"/>
      <c r="L16" s="9"/>
      <c r="M16" s="9"/>
      <c r="N16" s="7" t="n">
        <v>6</v>
      </c>
      <c r="O16" s="4"/>
      <c r="P16" s="4"/>
      <c r="Q16" s="4"/>
      <c r="R16" s="4"/>
      <c r="S16" s="7" t="s">
        <v>54</v>
      </c>
      <c r="T16" s="4" t="s">
        <v>130</v>
      </c>
      <c r="U16" s="4" t="s">
        <v>131</v>
      </c>
      <c r="V16" s="4" t="s">
        <v>132</v>
      </c>
      <c r="W16" s="4" t="s">
        <v>47</v>
      </c>
      <c r="X16" s="4" t="s">
        <v>48</v>
      </c>
      <c r="Y16" s="4" t="s">
        <v>133</v>
      </c>
    </row>
    <row r="17" customFormat="false" ht="35.05" hidden="false" customHeight="false" outlineLevel="0" collapsed="false">
      <c r="A17" s="4" t="s">
        <v>134</v>
      </c>
      <c r="B17" s="4" t="s">
        <v>135</v>
      </c>
      <c r="C17" s="4" t="s">
        <v>136</v>
      </c>
      <c r="D17" s="4" t="s">
        <v>137</v>
      </c>
      <c r="E17" s="4" t="s">
        <v>91</v>
      </c>
      <c r="F17" s="8" t="n">
        <v>21</v>
      </c>
      <c r="G17" s="8" t="n">
        <v>25</v>
      </c>
      <c r="H17" s="8" t="n">
        <v>4</v>
      </c>
      <c r="I17" s="8" t="n">
        <v>7.5</v>
      </c>
      <c r="J17" s="9"/>
      <c r="K17" s="9"/>
      <c r="L17" s="9"/>
      <c r="M17" s="9"/>
      <c r="N17" s="7" t="n">
        <v>3</v>
      </c>
      <c r="O17" s="7" t="n">
        <v>60</v>
      </c>
      <c r="P17" s="7" t="n">
        <v>30</v>
      </c>
      <c r="Q17" s="4"/>
      <c r="R17" s="7" t="n">
        <v>54</v>
      </c>
      <c r="S17" s="7" t="s">
        <v>54</v>
      </c>
      <c r="T17" s="4" t="s">
        <v>138</v>
      </c>
      <c r="U17" s="4"/>
      <c r="V17" s="4" t="s">
        <v>139</v>
      </c>
      <c r="W17" s="4" t="s">
        <v>47</v>
      </c>
      <c r="X17" s="4" t="s">
        <v>57</v>
      </c>
      <c r="Y17" s="4" t="s">
        <v>140</v>
      </c>
    </row>
    <row r="18" customFormat="false" ht="35.05" hidden="false" customHeight="false" outlineLevel="0" collapsed="false">
      <c r="A18" s="4" t="s">
        <v>141</v>
      </c>
      <c r="B18" s="4" t="s">
        <v>142</v>
      </c>
      <c r="C18" s="4" t="s">
        <v>143</v>
      </c>
      <c r="D18" s="4" t="s">
        <v>144</v>
      </c>
      <c r="E18" s="4" t="s">
        <v>44</v>
      </c>
      <c r="F18" s="8" t="n">
        <v>22</v>
      </c>
      <c r="G18" s="8" t="n">
        <v>28</v>
      </c>
      <c r="H18" s="8" t="n">
        <v>5</v>
      </c>
      <c r="I18" s="8" t="n">
        <v>8</v>
      </c>
      <c r="J18" s="9"/>
      <c r="K18" s="9"/>
      <c r="L18" s="9"/>
      <c r="M18" s="9"/>
      <c r="N18" s="7" t="n">
        <v>90</v>
      </c>
      <c r="O18" s="4"/>
      <c r="P18" s="4"/>
      <c r="Q18" s="4"/>
      <c r="R18" s="4"/>
      <c r="S18" s="4"/>
      <c r="T18" s="4" t="s">
        <v>145</v>
      </c>
      <c r="U18" s="4"/>
      <c r="V18" s="4" t="s">
        <v>146</v>
      </c>
      <c r="W18" s="4" t="s">
        <v>47</v>
      </c>
      <c r="X18" s="4" t="s">
        <v>48</v>
      </c>
      <c r="Y18" s="4" t="s">
        <v>147</v>
      </c>
    </row>
    <row r="19" customFormat="false" ht="23.85" hidden="false" customHeight="false" outlineLevel="0" collapsed="false">
      <c r="A19" s="4" t="s">
        <v>148</v>
      </c>
      <c r="B19" s="4" t="s">
        <v>149</v>
      </c>
      <c r="C19" s="4" t="s">
        <v>150</v>
      </c>
      <c r="D19" s="4" t="s">
        <v>151</v>
      </c>
      <c r="E19" s="4" t="s">
        <v>44</v>
      </c>
      <c r="F19" s="10"/>
      <c r="G19" s="10"/>
      <c r="H19" s="10"/>
      <c r="I19" s="10"/>
      <c r="J19" s="10"/>
      <c r="K19" s="10"/>
      <c r="L19" s="10"/>
      <c r="M19" s="10"/>
      <c r="N19" s="10"/>
      <c r="O19" s="10"/>
      <c r="P19" s="10"/>
      <c r="Q19" s="10"/>
      <c r="R19" s="10"/>
      <c r="S19" s="10"/>
      <c r="T19" s="4"/>
      <c r="U19" s="4"/>
      <c r="V19" s="4"/>
      <c r="W19" s="4"/>
      <c r="X19" s="4" t="s">
        <v>63</v>
      </c>
      <c r="Y19" s="4" t="s">
        <v>152</v>
      </c>
    </row>
    <row r="20" customFormat="false" ht="35.05" hidden="false" customHeight="false" outlineLevel="0" collapsed="false">
      <c r="A20" s="4" t="s">
        <v>153</v>
      </c>
      <c r="B20" s="4" t="s">
        <v>154</v>
      </c>
      <c r="C20" s="4" t="s">
        <v>155</v>
      </c>
      <c r="D20" s="4" t="s">
        <v>156</v>
      </c>
      <c r="E20" s="4" t="s">
        <v>91</v>
      </c>
      <c r="F20" s="8" t="n">
        <v>18</v>
      </c>
      <c r="G20" s="8" t="n">
        <v>25</v>
      </c>
      <c r="H20" s="8" t="n">
        <v>6</v>
      </c>
      <c r="I20" s="8" t="n">
        <v>8</v>
      </c>
      <c r="J20" s="6" t="n">
        <v>18</v>
      </c>
      <c r="K20" s="6" t="n">
        <v>24</v>
      </c>
      <c r="L20" s="6" t="n">
        <v>6</v>
      </c>
      <c r="M20" s="6" t="n">
        <v>8</v>
      </c>
      <c r="N20" s="7" t="n">
        <v>5</v>
      </c>
      <c r="O20" s="4"/>
      <c r="P20" s="4"/>
      <c r="Q20" s="4"/>
      <c r="R20" s="4"/>
      <c r="S20" s="7" t="s">
        <v>54</v>
      </c>
      <c r="T20" s="4" t="s">
        <v>157</v>
      </c>
      <c r="U20" s="4" t="s">
        <v>158</v>
      </c>
      <c r="V20" s="4" t="s">
        <v>159</v>
      </c>
      <c r="W20" s="4" t="s">
        <v>47</v>
      </c>
      <c r="X20" s="4" t="s">
        <v>48</v>
      </c>
      <c r="Y20" s="4" t="s">
        <v>160</v>
      </c>
    </row>
    <row r="21" customFormat="false" ht="46.25" hidden="false" customHeight="false" outlineLevel="0" collapsed="false">
      <c r="A21" s="4" t="s">
        <v>161</v>
      </c>
      <c r="B21" s="4" t="s">
        <v>162</v>
      </c>
      <c r="C21" s="4" t="s">
        <v>163</v>
      </c>
      <c r="D21" s="4" t="s">
        <v>164</v>
      </c>
      <c r="E21" s="4" t="s">
        <v>44</v>
      </c>
      <c r="F21" s="8" t="n">
        <v>24</v>
      </c>
      <c r="G21" s="8" t="n">
        <v>30</v>
      </c>
      <c r="H21" s="8" t="n">
        <v>6</v>
      </c>
      <c r="I21" s="8" t="n">
        <v>7.4</v>
      </c>
      <c r="J21" s="9"/>
      <c r="K21" s="9"/>
      <c r="L21" s="9"/>
      <c r="M21" s="9"/>
      <c r="N21" s="7" t="n">
        <v>15</v>
      </c>
      <c r="O21" s="7" t="n">
        <v>100</v>
      </c>
      <c r="P21" s="7" t="n">
        <v>40</v>
      </c>
      <c r="Q21" s="7" t="n">
        <v>50</v>
      </c>
      <c r="R21" s="4" t="n">
        <f aca="false">O21*P21*Q21/1000</f>
        <v>200</v>
      </c>
      <c r="S21" s="7" t="s">
        <v>54</v>
      </c>
      <c r="T21" s="4" t="s">
        <v>165</v>
      </c>
      <c r="U21" s="4"/>
      <c r="V21" s="4" t="s">
        <v>166</v>
      </c>
      <c r="W21" s="4" t="s">
        <v>47</v>
      </c>
      <c r="X21" s="4" t="s">
        <v>57</v>
      </c>
      <c r="Y21" s="4" t="s">
        <v>167</v>
      </c>
    </row>
    <row r="22" customFormat="false" ht="35.05" hidden="false" customHeight="false" outlineLevel="0" collapsed="false">
      <c r="A22" s="4" t="s">
        <v>168</v>
      </c>
      <c r="B22" s="4" t="s">
        <v>169</v>
      </c>
      <c r="C22" s="4" t="s">
        <v>170</v>
      </c>
      <c r="D22" s="4" t="s">
        <v>171</v>
      </c>
      <c r="E22" s="4" t="s">
        <v>91</v>
      </c>
      <c r="F22" s="8" t="n">
        <v>22</v>
      </c>
      <c r="G22" s="8" t="n">
        <v>30</v>
      </c>
      <c r="H22" s="8" t="n">
        <v>6</v>
      </c>
      <c r="I22" s="8" t="n">
        <v>8</v>
      </c>
      <c r="J22" s="9"/>
      <c r="K22" s="9"/>
      <c r="L22" s="9"/>
      <c r="M22" s="9"/>
      <c r="N22" s="7" t="n">
        <v>7</v>
      </c>
      <c r="O22" s="7" t="n">
        <v>45</v>
      </c>
      <c r="P22" s="7" t="n">
        <v>30</v>
      </c>
      <c r="Q22" s="4"/>
      <c r="R22" s="7" t="n">
        <v>41</v>
      </c>
      <c r="S22" s="4"/>
      <c r="T22" s="4" t="s">
        <v>172</v>
      </c>
      <c r="U22" s="4"/>
      <c r="V22" s="4" t="s">
        <v>173</v>
      </c>
      <c r="W22" s="4" t="s">
        <v>47</v>
      </c>
      <c r="X22" s="4" t="s">
        <v>57</v>
      </c>
      <c r="Y22" s="4" t="s">
        <v>174</v>
      </c>
    </row>
  </sheetData>
  <autoFilter ref="A1:Y22"/>
  <dataValidations count="1">
    <dataValidation allowBlank="true" errorStyle="stop" operator="between" showDropDown="false" showErrorMessage="false" showInputMessage="false" sqref="S2:S22" type="list">
      <formula1>"Hòa bình,Rỉa vây,Hung dữ"</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6"/>
    <col collapsed="false" customWidth="true" hidden="false" outlineLevel="0" max="5" min="4" style="0" width="12"/>
    <col collapsed="false" customWidth="true" hidden="false" outlineLevel="0" max="7" min="6" style="0" width="8"/>
    <col collapsed="false" customWidth="true" hidden="false" outlineLevel="0" max="8" min="8" style="0" width="60"/>
    <col collapsed="false" customWidth="true" hidden="false" outlineLevel="0" max="9" min="9" style="0" width="13"/>
    <col collapsed="false" customWidth="true" hidden="false" outlineLevel="0" max="10" min="10" style="0" width="44"/>
  </cols>
  <sheetData>
    <row r="1" customFormat="false" ht="23.85" hidden="false" customHeight="false" outlineLevel="0" collapsed="false">
      <c r="A1" s="3" t="s">
        <v>15</v>
      </c>
      <c r="B1" s="3" t="s">
        <v>175</v>
      </c>
      <c r="C1" s="3" t="s">
        <v>176</v>
      </c>
      <c r="D1" s="3" t="s">
        <v>177</v>
      </c>
      <c r="E1" s="3" t="s">
        <v>178</v>
      </c>
      <c r="F1" s="3" t="s">
        <v>179</v>
      </c>
      <c r="G1" s="3" t="s">
        <v>180</v>
      </c>
      <c r="H1" s="3" t="s">
        <v>181</v>
      </c>
      <c r="I1" s="3" t="s">
        <v>37</v>
      </c>
      <c r="J1" s="3" t="s">
        <v>39</v>
      </c>
    </row>
    <row r="2" customFormat="false" ht="15" hidden="false" customHeight="false" outlineLevel="0" collapsed="false">
      <c r="A2" s="11" t="s">
        <v>50</v>
      </c>
      <c r="B2" s="11" t="s">
        <v>182</v>
      </c>
      <c r="C2" s="11" t="s">
        <v>183</v>
      </c>
      <c r="D2" s="7" t="n">
        <v>17</v>
      </c>
      <c r="E2" s="7" t="n">
        <v>28</v>
      </c>
      <c r="F2" s="7" t="n">
        <v>7</v>
      </c>
      <c r="G2" s="7" t="n">
        <v>8.5</v>
      </c>
      <c r="H2" s="11" t="s">
        <v>184</v>
      </c>
      <c r="I2" s="11" t="s">
        <v>47</v>
      </c>
      <c r="J2" s="11" t="s">
        <v>185</v>
      </c>
    </row>
    <row r="3" customFormat="false" ht="23.85" hidden="false" customHeight="false" outlineLevel="0" collapsed="false">
      <c r="A3" s="11" t="s">
        <v>50</v>
      </c>
      <c r="B3" s="11" t="s">
        <v>186</v>
      </c>
      <c r="C3" s="11" t="s">
        <v>187</v>
      </c>
      <c r="D3" s="7" t="n">
        <v>22</v>
      </c>
      <c r="E3" s="7" t="n">
        <v>28</v>
      </c>
      <c r="F3" s="7" t="n">
        <v>6</v>
      </c>
      <c r="G3" s="7" t="n">
        <v>8</v>
      </c>
      <c r="H3" s="11" t="s">
        <v>188</v>
      </c>
      <c r="I3" s="11" t="s">
        <v>47</v>
      </c>
      <c r="J3" s="11" t="s">
        <v>189</v>
      </c>
    </row>
    <row r="4" customFormat="false" ht="15" hidden="false" customHeight="false" outlineLevel="0" collapsed="false">
      <c r="A4" s="11" t="s">
        <v>50</v>
      </c>
      <c r="B4" s="11" t="s">
        <v>190</v>
      </c>
      <c r="C4" s="11" t="s">
        <v>191</v>
      </c>
      <c r="D4" s="7" t="n">
        <v>18</v>
      </c>
      <c r="E4" s="7" t="n">
        <v>27</v>
      </c>
      <c r="F4" s="7" t="n">
        <v>7</v>
      </c>
      <c r="G4" s="7" t="n">
        <v>8.5</v>
      </c>
      <c r="H4" s="11" t="s">
        <v>192</v>
      </c>
      <c r="I4" s="11" t="s">
        <v>47</v>
      </c>
      <c r="J4" s="11"/>
    </row>
    <row r="5" customFormat="false" ht="15" hidden="false" customHeight="false" outlineLevel="0" collapsed="false">
      <c r="A5" s="11" t="s">
        <v>168</v>
      </c>
      <c r="B5" s="11" t="s">
        <v>182</v>
      </c>
      <c r="C5" s="11" t="s">
        <v>183</v>
      </c>
      <c r="D5" s="7" t="n">
        <v>22</v>
      </c>
      <c r="E5" s="7" t="n">
        <v>30</v>
      </c>
      <c r="F5" s="7" t="n">
        <v>6</v>
      </c>
      <c r="G5" s="7" t="n">
        <v>8</v>
      </c>
      <c r="H5" s="11" t="s">
        <v>172</v>
      </c>
      <c r="I5" s="11" t="s">
        <v>47</v>
      </c>
      <c r="J5" s="11"/>
    </row>
    <row r="6" customFormat="false" ht="15" hidden="false" customHeight="false" outlineLevel="0" collapsed="false">
      <c r="A6" s="11" t="s">
        <v>168</v>
      </c>
      <c r="B6" s="11" t="s">
        <v>193</v>
      </c>
      <c r="C6" s="11" t="s">
        <v>194</v>
      </c>
      <c r="D6" s="7" t="n">
        <v>21</v>
      </c>
      <c r="E6" s="7" t="n">
        <v>30</v>
      </c>
      <c r="F6" s="7" t="n">
        <v>6</v>
      </c>
      <c r="G6" s="7" t="n">
        <v>8</v>
      </c>
      <c r="H6" s="11" t="s">
        <v>195</v>
      </c>
      <c r="I6" s="11" t="s">
        <v>47</v>
      </c>
      <c r="J6" s="11"/>
    </row>
    <row r="7" customFormat="false" ht="15" hidden="false" customHeight="false" outlineLevel="0" collapsed="false">
      <c r="A7" s="11" t="s">
        <v>168</v>
      </c>
      <c r="B7" s="11" t="s">
        <v>196</v>
      </c>
      <c r="C7" s="11" t="s">
        <v>197</v>
      </c>
      <c r="D7" s="7" t="n">
        <v>24</v>
      </c>
      <c r="E7" s="7" t="n">
        <v>30</v>
      </c>
      <c r="F7" s="7" t="n">
        <v>6</v>
      </c>
      <c r="G7" s="7" t="n">
        <v>8</v>
      </c>
      <c r="H7" s="11" t="s">
        <v>198</v>
      </c>
      <c r="I7" s="11" t="s">
        <v>47</v>
      </c>
      <c r="J7" s="11" t="s">
        <v>199</v>
      </c>
    </row>
    <row r="8" customFormat="false" ht="15" hidden="false" customHeight="false" outlineLevel="0" collapsed="false">
      <c r="A8" s="11" t="s">
        <v>134</v>
      </c>
      <c r="B8" s="11" t="s">
        <v>182</v>
      </c>
      <c r="C8" s="11" t="s">
        <v>183</v>
      </c>
      <c r="D8" s="7" t="n">
        <v>21</v>
      </c>
      <c r="E8" s="7" t="n">
        <v>25</v>
      </c>
      <c r="F8" s="7" t="n">
        <v>4</v>
      </c>
      <c r="G8" s="7" t="n">
        <v>7.5</v>
      </c>
      <c r="H8" s="11" t="s">
        <v>138</v>
      </c>
      <c r="I8" s="11" t="s">
        <v>47</v>
      </c>
      <c r="J8" s="11"/>
    </row>
    <row r="9" customFormat="false" ht="15" hidden="false" customHeight="false" outlineLevel="0" collapsed="false">
      <c r="A9" s="11" t="s">
        <v>134</v>
      </c>
      <c r="B9" s="11" t="s">
        <v>200</v>
      </c>
      <c r="C9" s="11" t="s">
        <v>194</v>
      </c>
      <c r="D9" s="7" t="n">
        <v>20</v>
      </c>
      <c r="E9" s="7" t="n">
        <v>26</v>
      </c>
      <c r="F9" s="7" t="n">
        <v>5</v>
      </c>
      <c r="G9" s="7" t="n">
        <v>7.5</v>
      </c>
      <c r="H9" s="11" t="s">
        <v>201</v>
      </c>
      <c r="I9" s="11" t="s">
        <v>47</v>
      </c>
      <c r="J9" s="11"/>
    </row>
    <row r="10" customFormat="false" ht="15" hidden="false" customHeight="false" outlineLevel="0" collapsed="false">
      <c r="A10" s="11" t="s">
        <v>134</v>
      </c>
      <c r="B10" s="11" t="s">
        <v>202</v>
      </c>
      <c r="C10" s="11" t="s">
        <v>194</v>
      </c>
      <c r="D10" s="7" t="n">
        <v>20</v>
      </c>
      <c r="E10" s="7" t="n">
        <v>25</v>
      </c>
      <c r="F10" s="7" t="n">
        <v>5</v>
      </c>
      <c r="G10" s="7" t="n">
        <v>8</v>
      </c>
      <c r="H10" s="11" t="s">
        <v>203</v>
      </c>
      <c r="I10" s="11" t="s">
        <v>47</v>
      </c>
      <c r="J10" s="11" t="s">
        <v>204</v>
      </c>
    </row>
    <row r="11" customFormat="false" ht="15" hidden="false" customHeight="false" outlineLevel="0" collapsed="false">
      <c r="A11" s="11" t="s">
        <v>161</v>
      </c>
      <c r="B11" s="11" t="s">
        <v>182</v>
      </c>
      <c r="C11" s="11" t="s">
        <v>183</v>
      </c>
      <c r="D11" s="7" t="n">
        <v>24</v>
      </c>
      <c r="E11" s="7" t="n">
        <v>30</v>
      </c>
      <c r="F11" s="7" t="n">
        <v>6</v>
      </c>
      <c r="G11" s="7" t="n">
        <v>7.4</v>
      </c>
      <c r="H11" s="11" t="s">
        <v>165</v>
      </c>
      <c r="I11" s="11" t="s">
        <v>47</v>
      </c>
      <c r="J11" s="11" t="s">
        <v>205</v>
      </c>
    </row>
    <row r="12" customFormat="false" ht="15" hidden="false" customHeight="false" outlineLevel="0" collapsed="false">
      <c r="A12" s="11" t="s">
        <v>161</v>
      </c>
      <c r="B12" s="11" t="s">
        <v>200</v>
      </c>
      <c r="C12" s="11" t="s">
        <v>194</v>
      </c>
      <c r="D12" s="7" t="n">
        <v>24</v>
      </c>
      <c r="E12" s="7" t="n">
        <v>30</v>
      </c>
      <c r="F12" s="7" t="n">
        <v>6</v>
      </c>
      <c r="G12" s="7" t="n">
        <v>8</v>
      </c>
      <c r="H12" s="11" t="s">
        <v>206</v>
      </c>
      <c r="I12" s="11" t="s">
        <v>47</v>
      </c>
      <c r="J12" s="11"/>
    </row>
    <row r="13" customFormat="false" ht="15" hidden="false" customHeight="false" outlineLevel="0" collapsed="false">
      <c r="A13" s="11" t="s">
        <v>161</v>
      </c>
      <c r="B13" s="11" t="s">
        <v>207</v>
      </c>
      <c r="C13" s="11" t="s">
        <v>208</v>
      </c>
      <c r="D13" s="7" t="n">
        <v>24</v>
      </c>
      <c r="E13" s="7" t="n">
        <v>30</v>
      </c>
      <c r="F13" s="7" t="n">
        <v>6</v>
      </c>
      <c r="G13" s="7" t="n">
        <v>7.5</v>
      </c>
      <c r="H13" s="11" t="s">
        <v>209</v>
      </c>
      <c r="I13" s="11" t="s">
        <v>47</v>
      </c>
      <c r="J13" s="11"/>
    </row>
    <row r="14" customFormat="false" ht="15" hidden="false" customHeight="false" outlineLevel="0" collapsed="false">
      <c r="A14" s="11" t="s">
        <v>153</v>
      </c>
      <c r="B14" s="11" t="s">
        <v>182</v>
      </c>
      <c r="C14" s="11" t="s">
        <v>183</v>
      </c>
      <c r="D14" s="7" t="n">
        <v>18</v>
      </c>
      <c r="E14" s="7" t="n">
        <v>25</v>
      </c>
      <c r="F14" s="7" t="n">
        <v>6</v>
      </c>
      <c r="G14" s="7" t="n">
        <v>8</v>
      </c>
      <c r="H14" s="11" t="s">
        <v>157</v>
      </c>
      <c r="I14" s="11" t="s">
        <v>47</v>
      </c>
      <c r="J14" s="11"/>
    </row>
    <row r="15" customFormat="false" ht="15" hidden="false" customHeight="false" outlineLevel="0" collapsed="false">
      <c r="A15" s="11" t="s">
        <v>153</v>
      </c>
      <c r="B15" s="11" t="s">
        <v>210</v>
      </c>
      <c r="C15" s="11" t="s">
        <v>211</v>
      </c>
      <c r="D15" s="7" t="n">
        <v>18</v>
      </c>
      <c r="E15" s="7" t="n">
        <v>24</v>
      </c>
      <c r="F15" s="7" t="n">
        <v>6</v>
      </c>
      <c r="G15" s="7" t="n">
        <v>8</v>
      </c>
      <c r="H15" s="11" t="s">
        <v>158</v>
      </c>
      <c r="I15" s="11" t="s">
        <v>47</v>
      </c>
      <c r="J15" s="11" t="s">
        <v>212</v>
      </c>
    </row>
    <row r="16" customFormat="false" ht="15" hidden="false" customHeight="false" outlineLevel="0" collapsed="false">
      <c r="A16" s="11" t="s">
        <v>153</v>
      </c>
      <c r="B16" s="11" t="s">
        <v>200</v>
      </c>
      <c r="C16" s="11" t="s">
        <v>194</v>
      </c>
      <c r="D16" s="7" t="n">
        <v>15</v>
      </c>
      <c r="E16" s="7" t="n">
        <v>24</v>
      </c>
      <c r="F16" s="7" t="n">
        <v>6</v>
      </c>
      <c r="G16" s="7" t="n">
        <v>8</v>
      </c>
      <c r="H16" s="11" t="s">
        <v>213</v>
      </c>
      <c r="I16" s="11" t="s">
        <v>47</v>
      </c>
      <c r="J16" s="11"/>
    </row>
    <row r="17" customFormat="false" ht="15" hidden="false" customHeight="false" outlineLevel="0" collapsed="false">
      <c r="A17" s="11" t="s">
        <v>126</v>
      </c>
      <c r="B17" s="11" t="s">
        <v>182</v>
      </c>
      <c r="C17" s="11" t="s">
        <v>183</v>
      </c>
      <c r="D17" s="7" t="n">
        <v>20</v>
      </c>
      <c r="E17" s="7" t="n">
        <v>26</v>
      </c>
      <c r="F17" s="7" t="n">
        <v>7</v>
      </c>
      <c r="G17" s="7" t="n">
        <v>8.2</v>
      </c>
      <c r="H17" s="11" t="s">
        <v>214</v>
      </c>
      <c r="I17" s="11" t="s">
        <v>47</v>
      </c>
      <c r="J17" s="11" t="s">
        <v>215</v>
      </c>
    </row>
    <row r="18" customFormat="false" ht="15" hidden="false" customHeight="false" outlineLevel="0" collapsed="false">
      <c r="A18" s="11" t="s">
        <v>126</v>
      </c>
      <c r="B18" s="11" t="s">
        <v>200</v>
      </c>
      <c r="C18" s="11" t="s">
        <v>194</v>
      </c>
      <c r="D18" s="7" t="n">
        <v>20</v>
      </c>
      <c r="E18" s="7" t="n">
        <v>25</v>
      </c>
      <c r="F18" s="7" t="n">
        <v>7</v>
      </c>
      <c r="G18" s="7" t="n">
        <v>8</v>
      </c>
      <c r="H18" s="11" t="s">
        <v>216</v>
      </c>
      <c r="I18" s="11" t="s">
        <v>47</v>
      </c>
      <c r="J18" s="11"/>
    </row>
    <row r="19" customFormat="false" ht="15" hidden="false" customHeight="false" outlineLevel="0" collapsed="false">
      <c r="A19" s="11" t="s">
        <v>126</v>
      </c>
      <c r="B19" s="11" t="s">
        <v>217</v>
      </c>
      <c r="C19" s="11" t="s">
        <v>194</v>
      </c>
      <c r="D19" s="7" t="n">
        <v>20</v>
      </c>
      <c r="E19" s="7" t="n">
        <v>26</v>
      </c>
      <c r="F19" s="7" t="n">
        <v>7</v>
      </c>
      <c r="G19" s="7" t="n">
        <v>8.2</v>
      </c>
      <c r="H19" s="11" t="s">
        <v>218</v>
      </c>
      <c r="I19" s="11" t="s">
        <v>47</v>
      </c>
      <c r="J19" s="11"/>
    </row>
    <row r="20" customFormat="false" ht="15" hidden="false" customHeight="false" outlineLevel="0" collapsed="false">
      <c r="A20" s="11" t="s">
        <v>118</v>
      </c>
      <c r="B20" s="11" t="s">
        <v>210</v>
      </c>
      <c r="C20" s="11" t="s">
        <v>211</v>
      </c>
      <c r="D20" s="7" t="n">
        <v>18</v>
      </c>
      <c r="E20" s="7" t="n">
        <v>28</v>
      </c>
      <c r="F20" s="7" t="n">
        <v>7.5</v>
      </c>
      <c r="G20" s="7" t="n">
        <v>8.2</v>
      </c>
      <c r="H20" s="11" t="s">
        <v>123</v>
      </c>
      <c r="I20" s="11" t="s">
        <v>47</v>
      </c>
      <c r="J20" s="11" t="s">
        <v>219</v>
      </c>
    </row>
    <row r="21" customFormat="false" ht="15" hidden="false" customHeight="false" outlineLevel="0" collapsed="false">
      <c r="A21" s="11" t="s">
        <v>118</v>
      </c>
      <c r="B21" s="11" t="s">
        <v>200</v>
      </c>
      <c r="C21" s="11" t="s">
        <v>194</v>
      </c>
      <c r="D21" s="7" t="n">
        <v>18</v>
      </c>
      <c r="E21" s="7" t="n">
        <v>28</v>
      </c>
      <c r="F21" s="7" t="n">
        <v>7.5</v>
      </c>
      <c r="G21" s="7" t="n">
        <v>8.5</v>
      </c>
      <c r="H21" s="11" t="s">
        <v>220</v>
      </c>
      <c r="I21" s="11" t="s">
        <v>47</v>
      </c>
      <c r="J21" s="11"/>
    </row>
    <row r="22" customFormat="false" ht="15" hidden="false" customHeight="false" outlineLevel="0" collapsed="false">
      <c r="A22" s="11" t="s">
        <v>118</v>
      </c>
      <c r="B22" s="11" t="s">
        <v>202</v>
      </c>
      <c r="C22" s="11" t="s">
        <v>194</v>
      </c>
      <c r="D22" s="7" t="n">
        <v>21</v>
      </c>
      <c r="E22" s="7" t="n">
        <v>28</v>
      </c>
      <c r="F22" s="7" t="n">
        <v>7</v>
      </c>
      <c r="G22" s="7" t="n">
        <v>8.5</v>
      </c>
      <c r="H22" s="11" t="s">
        <v>221</v>
      </c>
      <c r="I22" s="11" t="s">
        <v>47</v>
      </c>
      <c r="J22" s="11" t="s">
        <v>222</v>
      </c>
    </row>
    <row r="23" customFormat="false" ht="15" hidden="false" customHeight="false" outlineLevel="0" collapsed="false">
      <c r="A23" s="11" t="s">
        <v>87</v>
      </c>
      <c r="B23" s="11" t="s">
        <v>223</v>
      </c>
      <c r="C23" s="11" t="s">
        <v>224</v>
      </c>
      <c r="D23" s="7" t="n">
        <v>20</v>
      </c>
      <c r="E23" s="7" t="n">
        <v>28</v>
      </c>
      <c r="F23" s="7" t="n">
        <v>7</v>
      </c>
      <c r="G23" s="7" t="n">
        <v>8</v>
      </c>
      <c r="H23" s="11" t="s">
        <v>225</v>
      </c>
      <c r="I23" s="11" t="s">
        <v>47</v>
      </c>
      <c r="J23" s="11" t="s">
        <v>226</v>
      </c>
    </row>
    <row r="24" customFormat="false" ht="15" hidden="false" customHeight="false" outlineLevel="0" collapsed="false">
      <c r="A24" s="11" t="s">
        <v>87</v>
      </c>
      <c r="B24" s="11" t="s">
        <v>200</v>
      </c>
      <c r="C24" s="11" t="s">
        <v>194</v>
      </c>
      <c r="D24" s="7" t="n">
        <v>15</v>
      </c>
      <c r="E24" s="7" t="n">
        <v>28</v>
      </c>
      <c r="F24" s="7" t="n">
        <v>7</v>
      </c>
      <c r="G24" s="7" t="n">
        <v>8</v>
      </c>
      <c r="H24" s="11" t="s">
        <v>227</v>
      </c>
      <c r="I24" s="11" t="s">
        <v>47</v>
      </c>
      <c r="J24" s="11"/>
    </row>
    <row r="25" customFormat="false" ht="15" hidden="false" customHeight="false" outlineLevel="0" collapsed="false">
      <c r="A25" s="11" t="s">
        <v>87</v>
      </c>
      <c r="B25" s="11" t="s">
        <v>202</v>
      </c>
      <c r="C25" s="11" t="s">
        <v>194</v>
      </c>
      <c r="D25" s="7" t="n">
        <v>20</v>
      </c>
      <c r="E25" s="7" t="n">
        <v>28</v>
      </c>
      <c r="F25" s="7" t="n">
        <v>7</v>
      </c>
      <c r="G25" s="7" t="n">
        <v>8.3</v>
      </c>
      <c r="H25" s="11" t="s">
        <v>228</v>
      </c>
      <c r="I25" s="11" t="s">
        <v>47</v>
      </c>
      <c r="J25" s="11" t="s">
        <v>229</v>
      </c>
    </row>
    <row r="26" customFormat="false" ht="23.85" hidden="false" customHeight="false" outlineLevel="0" collapsed="false">
      <c r="A26" s="11" t="s">
        <v>40</v>
      </c>
      <c r="B26" s="11" t="s">
        <v>230</v>
      </c>
      <c r="C26" s="11" t="s">
        <v>231</v>
      </c>
      <c r="D26" s="7" t="n">
        <v>4</v>
      </c>
      <c r="E26" s="7" t="n">
        <v>25</v>
      </c>
      <c r="F26" s="7" t="n">
        <v>6</v>
      </c>
      <c r="G26" s="7" t="n">
        <v>8</v>
      </c>
      <c r="H26" s="11" t="s">
        <v>45</v>
      </c>
      <c r="I26" s="11" t="s">
        <v>47</v>
      </c>
      <c r="J26" s="11" t="s">
        <v>232</v>
      </c>
    </row>
    <row r="27" customFormat="false" ht="15" hidden="false" customHeight="false" outlineLevel="0" collapsed="false">
      <c r="A27" s="11" t="s">
        <v>40</v>
      </c>
      <c r="B27" s="11" t="s">
        <v>202</v>
      </c>
      <c r="C27" s="11" t="s">
        <v>194</v>
      </c>
      <c r="D27" s="7" t="n">
        <v>8</v>
      </c>
      <c r="E27" s="7" t="n">
        <v>20</v>
      </c>
      <c r="F27" s="7" t="n">
        <v>6</v>
      </c>
      <c r="G27" s="7" t="n">
        <v>8</v>
      </c>
      <c r="H27" s="11" t="s">
        <v>233</v>
      </c>
      <c r="I27" s="11" t="s">
        <v>47</v>
      </c>
      <c r="J27" s="11" t="s">
        <v>234</v>
      </c>
    </row>
    <row r="28" customFormat="false" ht="15" hidden="false" customHeight="false" outlineLevel="0" collapsed="false">
      <c r="A28" s="11" t="s">
        <v>40</v>
      </c>
      <c r="B28" s="11" t="s">
        <v>235</v>
      </c>
      <c r="C28" s="11" t="s">
        <v>197</v>
      </c>
      <c r="D28" s="7" t="n">
        <v>18</v>
      </c>
      <c r="E28" s="7" t="n">
        <v>22</v>
      </c>
      <c r="F28" s="7" t="n">
        <v>6.5</v>
      </c>
      <c r="G28" s="7" t="n">
        <v>7.5</v>
      </c>
      <c r="H28" s="11" t="s">
        <v>236</v>
      </c>
      <c r="I28" s="11" t="s">
        <v>47</v>
      </c>
      <c r="J28" s="11"/>
    </row>
    <row r="29" customFormat="false" ht="15" hidden="false" customHeight="false" outlineLevel="0" collapsed="false">
      <c r="A29" s="11" t="s">
        <v>103</v>
      </c>
      <c r="B29" s="11" t="s">
        <v>200</v>
      </c>
      <c r="C29" s="11" t="s">
        <v>194</v>
      </c>
      <c r="D29" s="7" t="n">
        <v>2</v>
      </c>
      <c r="E29" s="7" t="n">
        <v>30</v>
      </c>
      <c r="F29" s="7" t="n">
        <v>7</v>
      </c>
      <c r="G29" s="7" t="n">
        <v>8.5</v>
      </c>
      <c r="H29" s="11" t="s">
        <v>237</v>
      </c>
      <c r="I29" s="11" t="s">
        <v>47</v>
      </c>
      <c r="J29" s="11" t="s">
        <v>238</v>
      </c>
    </row>
    <row r="30" customFormat="false" ht="15" hidden="false" customHeight="false" outlineLevel="0" collapsed="false">
      <c r="A30" s="11" t="s">
        <v>103</v>
      </c>
      <c r="B30" s="11" t="s">
        <v>217</v>
      </c>
      <c r="C30" s="11" t="s">
        <v>194</v>
      </c>
      <c r="D30" s="7" t="n">
        <v>4</v>
      </c>
      <c r="E30" s="7" t="n">
        <v>28</v>
      </c>
      <c r="F30" s="7" t="n">
        <v>6.5</v>
      </c>
      <c r="G30" s="7" t="n">
        <v>8.5</v>
      </c>
      <c r="H30" s="11" t="s">
        <v>239</v>
      </c>
      <c r="I30" s="11" t="s">
        <v>47</v>
      </c>
      <c r="J30" s="11" t="s">
        <v>240</v>
      </c>
    </row>
    <row r="31" customFormat="false" ht="15" hidden="false" customHeight="false" outlineLevel="0" collapsed="false">
      <c r="A31" s="11" t="s">
        <v>80</v>
      </c>
      <c r="B31" s="11" t="s">
        <v>241</v>
      </c>
      <c r="C31" s="11" t="s">
        <v>242</v>
      </c>
      <c r="D31" s="7" t="n">
        <v>23</v>
      </c>
      <c r="E31" s="7" t="n">
        <v>28</v>
      </c>
      <c r="F31" s="7" t="n">
        <v>6</v>
      </c>
      <c r="G31" s="7" t="n">
        <v>7.5</v>
      </c>
      <c r="H31" s="11" t="s">
        <v>243</v>
      </c>
      <c r="I31" s="11" t="s">
        <v>47</v>
      </c>
      <c r="J31" s="11"/>
    </row>
    <row r="32" customFormat="false" ht="15" hidden="false" customHeight="false" outlineLevel="0" collapsed="false">
      <c r="A32" s="11" t="s">
        <v>80</v>
      </c>
      <c r="B32" s="11" t="s">
        <v>244</v>
      </c>
      <c r="C32" s="11" t="s">
        <v>194</v>
      </c>
      <c r="D32" s="7" t="n">
        <v>23</v>
      </c>
      <c r="E32" s="7" t="n">
        <v>27</v>
      </c>
      <c r="F32" s="7" t="n">
        <v>6</v>
      </c>
      <c r="G32" s="7" t="n">
        <v>7.5</v>
      </c>
      <c r="H32" s="11" t="s">
        <v>245</v>
      </c>
      <c r="I32" s="11" t="s">
        <v>47</v>
      </c>
      <c r="J32" s="11"/>
    </row>
    <row r="33" customFormat="false" ht="15" hidden="false" customHeight="false" outlineLevel="0" collapsed="false">
      <c r="A33" s="11" t="s">
        <v>80</v>
      </c>
      <c r="B33" s="11" t="s">
        <v>246</v>
      </c>
      <c r="C33" s="11" t="s">
        <v>197</v>
      </c>
      <c r="D33" s="7" t="n">
        <v>22</v>
      </c>
      <c r="E33" s="7" t="n">
        <v>26</v>
      </c>
      <c r="F33" s="7" t="n">
        <v>6</v>
      </c>
      <c r="G33" s="7" t="n">
        <v>8</v>
      </c>
      <c r="H33" s="11" t="s">
        <v>247</v>
      </c>
      <c r="I33" s="11" t="s">
        <v>47</v>
      </c>
      <c r="J33" s="11"/>
    </row>
    <row r="34" customFormat="false" ht="15" hidden="false" customHeight="false" outlineLevel="0" collapsed="false">
      <c r="A34" s="11" t="s">
        <v>141</v>
      </c>
      <c r="B34" s="11" t="s">
        <v>182</v>
      </c>
      <c r="C34" s="11" t="s">
        <v>183</v>
      </c>
      <c r="D34" s="7" t="n">
        <v>22</v>
      </c>
      <c r="E34" s="7" t="n">
        <v>28</v>
      </c>
      <c r="F34" s="7" t="n">
        <v>5</v>
      </c>
      <c r="G34" s="7" t="n">
        <v>8</v>
      </c>
      <c r="H34" s="11" t="s">
        <v>145</v>
      </c>
      <c r="I34" s="11" t="s">
        <v>47</v>
      </c>
      <c r="J34" s="11" t="s">
        <v>248</v>
      </c>
    </row>
    <row r="35" customFormat="false" ht="15" hidden="false" customHeight="false" outlineLevel="0" collapsed="false">
      <c r="A35" s="11" t="s">
        <v>141</v>
      </c>
      <c r="B35" s="11" t="s">
        <v>202</v>
      </c>
      <c r="C35" s="11" t="s">
        <v>194</v>
      </c>
      <c r="D35" s="7" t="n">
        <v>25</v>
      </c>
      <c r="E35" s="7" t="n">
        <v>30</v>
      </c>
      <c r="F35" s="7" t="n">
        <v>6.5</v>
      </c>
      <c r="G35" s="7" t="n">
        <v>7.5</v>
      </c>
      <c r="H35" s="11" t="s">
        <v>249</v>
      </c>
      <c r="I35" s="11" t="s">
        <v>47</v>
      </c>
      <c r="J35" s="11" t="s">
        <v>250</v>
      </c>
    </row>
    <row r="36" customFormat="false" ht="15" hidden="false" customHeight="false" outlineLevel="0" collapsed="false">
      <c r="A36" s="11" t="s">
        <v>141</v>
      </c>
      <c r="B36" s="11" t="s">
        <v>217</v>
      </c>
      <c r="C36" s="11" t="s">
        <v>194</v>
      </c>
      <c r="D36" s="7" t="n">
        <v>26</v>
      </c>
      <c r="E36" s="7" t="n">
        <v>30</v>
      </c>
      <c r="F36" s="7" t="n">
        <v>6</v>
      </c>
      <c r="G36" s="7" t="n">
        <v>7.5</v>
      </c>
      <c r="H36" s="11" t="s">
        <v>251</v>
      </c>
      <c r="I36" s="11" t="s">
        <v>47</v>
      </c>
      <c r="J36" s="11"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2026-09-28T06:36:25Z</dcterms:created>
  <dc:creator>openpyxl</dc:creator>
  <dc:description/>
  <dc:language>en-US</dc:language>
  <cp:lastModifiedBy/>
  <dcterms:modified xsi:type="dcterms:W3CDTF">2026-09-28T06:36:25Z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